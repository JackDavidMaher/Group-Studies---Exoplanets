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bham-my.sharepoint.com/personal/sxh1612_student_bham_ac_uk/Documents/Documents/Work/Group project/"/>
    </mc:Choice>
  </mc:AlternateContent>
  <xr:revisionPtr revIDLastSave="135" documentId="8_{7B7CBD8B-D93C-41A6-9B5D-0F211BAD693F}" xr6:coauthVersionLast="47" xr6:coauthVersionMax="47" xr10:uidLastSave="{5D9CDE90-7A34-4A04-8C9E-B2F5541C8C44}"/>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schedule'!$BA$2</definedName>
    <definedName name="_xlnm.Print_Titles" localSheetId="0">'Project schedule'!$4:$6</definedName>
    <definedName name="Project_Start">'Project schedule'!$BA$1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1" l="1"/>
  <c r="G7" i="11"/>
  <c r="H5" i="11" l="1"/>
  <c r="G32" i="11"/>
  <c r="G29" i="11"/>
  <c r="G21" i="11"/>
  <c r="G13" i="11"/>
  <c r="G8" i="11"/>
  <c r="I5" i="11" l="1"/>
  <c r="J5" i="11" s="1"/>
  <c r="K5" i="11" s="1"/>
  <c r="L5" i="11" s="1"/>
  <c r="M5" i="11" s="1"/>
  <c r="N5" i="11" s="1"/>
  <c r="H4" i="11"/>
  <c r="G24" i="11"/>
  <c r="G25" i="11"/>
  <c r="H6" i="11"/>
  <c r="O5" i="11" l="1"/>
  <c r="O4" i="11" s="1"/>
  <c r="G31" i="11"/>
  <c r="G30" i="11"/>
  <c r="G28" i="11"/>
  <c r="G10" i="11"/>
  <c r="G26" i="11"/>
  <c r="G14" i="11"/>
  <c r="P5" i="11" l="1"/>
  <c r="Q5" i="11" s="1"/>
  <c r="R5" i="11" s="1"/>
  <c r="S5" i="11" s="1"/>
  <c r="T5" i="11" s="1"/>
  <c r="U5" i="11" s="1"/>
  <c r="V5" i="11" s="1"/>
  <c r="G27" i="11"/>
  <c r="G15" i="11"/>
  <c r="G11" i="11"/>
  <c r="G12" i="11"/>
  <c r="I6" i="11"/>
  <c r="W5" i="11" l="1"/>
  <c r="X5" i="11" s="1"/>
  <c r="Y5" i="11" s="1"/>
  <c r="Z5" i="11" s="1"/>
  <c r="AA5" i="11" s="1"/>
  <c r="AB5" i="11" s="1"/>
  <c r="AC5" i="11" s="1"/>
  <c r="V4" i="11"/>
  <c r="G20" i="11"/>
  <c r="G17" i="11"/>
  <c r="G16" i="11"/>
  <c r="J6" i="11"/>
  <c r="AC4" i="11" l="1"/>
  <c r="AD5" i="11"/>
  <c r="AE5" i="11" s="1"/>
  <c r="AF5" i="11" s="1"/>
  <c r="AG5" i="11" s="1"/>
  <c r="AH5" i="11" s="1"/>
  <c r="AI5" i="11" s="1"/>
  <c r="AJ5" i="11" s="1"/>
  <c r="K6" i="11"/>
  <c r="AJ4" i="11" l="1"/>
  <c r="AK5" i="11"/>
  <c r="AL5" i="11" s="1"/>
  <c r="AM5" i="11" s="1"/>
  <c r="AN5" i="11" s="1"/>
  <c r="AO5" i="11" s="1"/>
  <c r="AP5" i="11" s="1"/>
  <c r="AQ5" i="11" s="1"/>
  <c r="L6" i="11"/>
  <c r="AR5" i="11" l="1"/>
  <c r="AS5" i="11" s="1"/>
  <c r="AT5" i="11" s="1"/>
  <c r="AU5" i="11" s="1"/>
  <c r="AV5" i="11" s="1"/>
  <c r="AW5" i="11" s="1"/>
  <c r="AX5" i="11" s="1"/>
  <c r="AQ4" i="11"/>
  <c r="M6" i="11"/>
  <c r="AX4" i="11" l="1"/>
  <c r="AY5" i="11"/>
  <c r="AX6" i="11"/>
  <c r="AR6" i="11"/>
  <c r="N6" i="11"/>
  <c r="AZ5" i="11" l="1"/>
  <c r="AY6" i="11"/>
  <c r="AS6" i="11"/>
  <c r="BA5" i="11" l="1"/>
  <c r="AZ6" i="11"/>
  <c r="AT6" i="11"/>
  <c r="O6" i="11"/>
  <c r="P6" i="11"/>
  <c r="BB5" i="11" l="1"/>
  <c r="BA6" i="11"/>
  <c r="AU6" i="11"/>
  <c r="Q6" i="11"/>
  <c r="BC5" i="11" l="1"/>
  <c r="BB6" i="11"/>
  <c r="AV6" i="11"/>
  <c r="R6" i="11"/>
  <c r="BD5" i="11" l="1"/>
  <c r="BC6" i="11"/>
  <c r="AW6" i="11"/>
  <c r="S6" i="11"/>
  <c r="BE5" i="11" l="1"/>
  <c r="BD6" i="11"/>
  <c r="T6" i="11"/>
  <c r="BF5" i="11" l="1"/>
  <c r="BE4" i="11"/>
  <c r="BE6" i="11"/>
  <c r="U6" i="11"/>
  <c r="BG5" i="11" l="1"/>
  <c r="BF6" i="11"/>
  <c r="V6" i="11"/>
  <c r="BH5" i="11" l="1"/>
  <c r="BG6" i="11"/>
  <c r="W6" i="11"/>
  <c r="BI5" i="11" l="1"/>
  <c r="BH6" i="11"/>
  <c r="X6" i="11"/>
  <c r="BI6" i="11" l="1"/>
  <c r="BJ5" i="11"/>
  <c r="Y6" i="11"/>
  <c r="BJ6" i="11" l="1"/>
  <c r="BK5" i="11"/>
  <c r="Z6" i="11"/>
  <c r="BL5" i="11" l="1"/>
  <c r="BK6" i="11"/>
  <c r="AA6" i="11"/>
  <c r="BL6" i="11" l="1"/>
  <c r="BL4" i="11"/>
  <c r="BM5" i="11"/>
  <c r="AB6" i="11"/>
  <c r="BN5" i="11" l="1"/>
  <c r="BM6" i="11"/>
  <c r="AC6" i="11"/>
  <c r="BO5" i="11" l="1"/>
  <c r="BN6" i="11"/>
  <c r="AD6" i="11"/>
  <c r="BP5" i="11" l="1"/>
  <c r="BO6" i="11"/>
  <c r="AE6" i="11"/>
  <c r="BQ5" i="11" l="1"/>
  <c r="BP6" i="11"/>
  <c r="AF6" i="11"/>
  <c r="BR5" i="11" l="1"/>
  <c r="BQ6" i="11"/>
  <c r="AG6" i="11"/>
  <c r="BR6" i="11" l="1"/>
  <c r="BS5" i="11"/>
  <c r="AH6" i="11"/>
  <c r="BT5" i="11" l="1"/>
  <c r="BS6" i="11"/>
  <c r="BS4" i="11"/>
  <c r="AI6" i="11"/>
  <c r="BU5" i="11" l="1"/>
  <c r="BT6" i="11"/>
  <c r="AJ6" i="11"/>
  <c r="BV5" i="11" l="1"/>
  <c r="BU6" i="11"/>
  <c r="AK6" i="11"/>
  <c r="BW5" i="11" l="1"/>
  <c r="BV6" i="11"/>
  <c r="AL6" i="11"/>
  <c r="BX5" i="11" l="1"/>
  <c r="BW6" i="11"/>
  <c r="AM6" i="11"/>
  <c r="BY5" i="11" l="1"/>
  <c r="BY6" i="11" s="1"/>
  <c r="BX6" i="11"/>
  <c r="AN6" i="11"/>
  <c r="AO6" i="11" l="1"/>
  <c r="AP6" i="11" l="1"/>
  <c r="AQ6" i="11" l="1"/>
</calcChain>
</file>

<file path=xl/sharedStrings.xml><?xml version="1.0" encoding="utf-8"?>
<sst xmlns="http://schemas.openxmlformats.org/spreadsheetml/2006/main" count="56" uniqueCount="56">
  <si>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</si>
  <si>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</si>
  <si>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</si>
  <si>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</si>
  <si>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</si>
  <si>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</si>
  <si>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</si>
  <si>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</si>
  <si>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</si>
  <si>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</si>
  <si>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</si>
  <si>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</si>
  <si>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</si>
  <si>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</si>
  <si>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</si>
  <si>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</si>
  <si>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</si>
  <si>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</si>
  <si>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</si>
  <si>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</si>
  <si>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</si>
  <si>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 xml:space="preserve">Deadlines </t>
  </si>
  <si>
    <t>Report</t>
  </si>
  <si>
    <t xml:space="preserve">Atmospheres of Sub-Neptunes </t>
  </si>
  <si>
    <t>Writing Report</t>
  </si>
  <si>
    <t xml:space="preserve">Seminar </t>
  </si>
  <si>
    <t>Seminar Making</t>
  </si>
  <si>
    <t>Group 1</t>
  </si>
  <si>
    <t>Group 2</t>
  </si>
  <si>
    <t>Milestones</t>
  </si>
  <si>
    <t>Success for 1 planet</t>
  </si>
  <si>
    <t>Research</t>
  </si>
  <si>
    <t xml:space="preserve">Equilibrium temperature </t>
  </si>
  <si>
    <t xml:space="preserve">Mapping spectrum peaks </t>
  </si>
  <si>
    <t>Observation Time</t>
  </si>
  <si>
    <t xml:space="preserve">Research JWST instruments </t>
  </si>
  <si>
    <t xml:space="preserve">Atmospheric estimates </t>
  </si>
  <si>
    <t>Wavelength Estimates</t>
  </si>
  <si>
    <t xml:space="preserve">Modify simulation code </t>
  </si>
  <si>
    <t xml:space="preserve">Creating simulations </t>
  </si>
  <si>
    <t>Early target list</t>
  </si>
  <si>
    <t>Final target list</t>
  </si>
  <si>
    <t>Understand transmission spectrum code</t>
  </si>
  <si>
    <t>Test atmospheric composition</t>
  </si>
  <si>
    <t>Week 1</t>
  </si>
  <si>
    <t xml:space="preserve">Week 2 </t>
  </si>
  <si>
    <t>Week 3</t>
  </si>
  <si>
    <t>Week 4</t>
  </si>
  <si>
    <t>Week 5</t>
  </si>
  <si>
    <t>Week 6</t>
  </si>
  <si>
    <t>Week 7</t>
  </si>
  <si>
    <t>Week 8</t>
  </si>
  <si>
    <t>Week 9</t>
  </si>
  <si>
    <t>Week 10</t>
  </si>
  <si>
    <t>Modelling and Statistical testing</t>
  </si>
  <si>
    <t xml:space="preserve">targets,simulations and mapping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</si>
</sst>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_(* #,##0.00_);_(* \(#,##0.00\);_(* &quot;-&quot;??_);_(@_)"/>
    <numFmt numFmtId="165" formatCode="m/d/yy;@"/>
    <numFmt numFmtId="166" formatCode="ddd\,\ m/d/yyyy"/>
    <numFmt numFmtId="167" formatCode="d"/>
    <numFmt numFmtId="168" formatCode="[$-F800]dddd\,\ mmmm\ dd\,\ yyyy"/>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252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44" fontId="4" fillId="0" borderId="0" applyFont="0" applyFill="0" applyBorder="0" applyAlignment="0" applyProtection="0"/>
  </cellStyleXfs>
  <cellXfs count="9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19" xfId="0" applyNumberFormat="1" applyFont="1" applyFill="1" applyBorder="1" applyAlignment="1">
      <alignment horizontal="center" vertical="center"/>
    </xf>
    <xf numFmtId="167" fontId="18" fillId="12" borderId="17"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0" fontId="19" fillId="2" borderId="16"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4" fillId="0" borderId="11" xfId="0" applyFont="1" applyBorder="1" applyAlignment="1">
      <alignment vertical="center"/>
    </xf>
    <xf numFmtId="0" fontId="4" fillId="0" borderId="10" xfId="0" applyFont="1" applyBorder="1" applyAlignment="1">
      <alignment vertical="center"/>
    </xf>
    <xf numFmtId="0" fontId="16" fillId="0" borderId="0" xfId="12" applyFont="1" applyBorder="1">
      <alignment horizontal="left" vertical="center" indent="2"/>
    </xf>
    <xf numFmtId="9" fontId="1" fillId="0" borderId="0" xfId="2" applyFont="1" applyBorder="1" applyAlignment="1">
      <alignment horizontal="center" vertical="center"/>
    </xf>
    <xf numFmtId="165" fontId="16" fillId="0" borderId="0" xfId="10" applyFont="1" applyBorder="1">
      <alignment horizontal="center" vertical="center"/>
    </xf>
    <xf numFmtId="0" fontId="21" fillId="0" borderId="0" xfId="6" applyFont="1" applyAlignment="1">
      <alignment horizontal="left" vertical="center" indent="1"/>
    </xf>
    <xf numFmtId="0" fontId="24"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4" fillId="13" borderId="4" xfId="0" applyFont="1" applyFill="1" applyBorder="1" applyAlignment="1">
      <alignment vertical="center"/>
    </xf>
    <xf numFmtId="14" fontId="16" fillId="5" borderId="8" xfId="13" applyNumberFormat="1" applyFont="1" applyFill="1" applyBorder="1" applyAlignment="1">
      <alignment horizontal="center" vertical="center"/>
    </xf>
    <xf numFmtId="14" fontId="16" fillId="3" borderId="6" xfId="10" applyNumberFormat="1" applyFont="1" applyFill="1" applyBorder="1">
      <alignment horizontal="center" vertical="center"/>
    </xf>
    <xf numFmtId="14" fontId="16" fillId="3" borderId="7" xfId="10" applyNumberFormat="1" applyFont="1" applyFill="1" applyBorder="1">
      <alignment horizontal="center" vertical="center"/>
    </xf>
    <xf numFmtId="14" fontId="20" fillId="6" borderId="0" xfId="0" applyNumberFormat="1" applyFont="1" applyFill="1" applyAlignment="1">
      <alignment horizontal="left" vertical="center" indent="1"/>
    </xf>
    <xf numFmtId="14" fontId="1" fillId="6" borderId="0" xfId="2" applyNumberFormat="1" applyFont="1" applyFill="1" applyBorder="1" applyAlignment="1">
      <alignment horizontal="center" vertical="center"/>
    </xf>
    <xf numFmtId="14" fontId="16" fillId="6" borderId="0" xfId="0" applyNumberFormat="1" applyFont="1" applyFill="1" applyAlignment="1">
      <alignment horizontal="center" vertical="center"/>
    </xf>
    <xf numFmtId="14" fontId="1" fillId="6" borderId="0" xfId="0" applyNumberFormat="1" applyFont="1" applyFill="1" applyAlignment="1">
      <alignment horizontal="center" vertical="center"/>
    </xf>
    <xf numFmtId="14" fontId="16" fillId="3" borderId="6" xfId="12" applyNumberFormat="1" applyFont="1" applyFill="1" applyBorder="1">
      <alignment horizontal="left" vertical="center" indent="2"/>
    </xf>
    <xf numFmtId="14" fontId="1" fillId="3" borderId="6" xfId="2" applyNumberFormat="1" applyFont="1" applyFill="1" applyBorder="1" applyAlignment="1">
      <alignment horizontal="center" vertical="center"/>
    </xf>
    <xf numFmtId="14" fontId="16" fillId="3" borderId="7" xfId="12" applyNumberFormat="1" applyFont="1" applyFill="1" applyBorder="1">
      <alignment horizontal="left" vertical="center" indent="2"/>
    </xf>
    <xf numFmtId="14" fontId="1" fillId="3" borderId="7" xfId="2" applyNumberFormat="1" applyFont="1" applyFill="1" applyBorder="1" applyAlignment="1">
      <alignment horizontal="center" vertical="center"/>
    </xf>
    <xf numFmtId="14" fontId="20" fillId="7" borderId="0" xfId="0" applyNumberFormat="1" applyFont="1" applyFill="1" applyAlignment="1">
      <alignment horizontal="left" vertical="center" indent="1"/>
    </xf>
    <xf numFmtId="14" fontId="16" fillId="7" borderId="0" xfId="11" applyNumberFormat="1" applyFont="1" applyFill="1" applyBorder="1" applyAlignment="1">
      <alignment vertical="center"/>
    </xf>
    <xf numFmtId="14" fontId="16" fillId="7" borderId="0" xfId="0" applyNumberFormat="1" applyFont="1" applyFill="1" applyAlignment="1">
      <alignment horizontal="center" vertical="center"/>
    </xf>
    <xf numFmtId="14" fontId="1" fillId="7" borderId="0" xfId="0" applyNumberFormat="1" applyFont="1" applyFill="1" applyAlignment="1">
      <alignment horizontal="center" vertical="center"/>
    </xf>
    <xf numFmtId="14" fontId="16" fillId="4" borderId="5" xfId="12" applyNumberFormat="1" applyFont="1" applyFill="1" applyBorder="1">
      <alignment horizontal="left" vertical="center" indent="2"/>
    </xf>
    <xf numFmtId="14" fontId="16" fillId="4" borderId="5" xfId="10" applyNumberFormat="1" applyFont="1" applyFill="1" applyBorder="1">
      <alignment horizontal="center" vertical="center"/>
    </xf>
    <xf numFmtId="14" fontId="20" fillId="8" borderId="0" xfId="0" applyNumberFormat="1" applyFont="1" applyFill="1" applyAlignment="1">
      <alignment horizontal="left" vertical="center" indent="1"/>
    </xf>
    <xf numFmtId="14" fontId="16" fillId="8" borderId="0" xfId="11" applyNumberFormat="1" applyFont="1" applyFill="1" applyBorder="1" applyAlignment="1">
      <alignment vertical="center"/>
    </xf>
    <xf numFmtId="14" fontId="16" fillId="8" borderId="0" xfId="0" applyNumberFormat="1" applyFont="1" applyFill="1" applyAlignment="1">
      <alignment horizontal="center" vertical="center"/>
    </xf>
    <xf numFmtId="14" fontId="1" fillId="8" borderId="0" xfId="0" applyNumberFormat="1" applyFont="1" applyFill="1" applyAlignment="1">
      <alignment horizontal="center" vertical="center"/>
    </xf>
    <xf numFmtId="14" fontId="16" fillId="5" borderId="8" xfId="12" applyNumberFormat="1" applyFont="1" applyFill="1" applyBorder="1">
      <alignment horizontal="left" vertical="center" indent="2"/>
    </xf>
    <xf numFmtId="14" fontId="16" fillId="5" borderId="8" xfId="10" applyNumberFormat="1" applyFont="1" applyFill="1" applyBorder="1">
      <alignment horizontal="center" vertical="center"/>
    </xf>
    <xf numFmtId="14" fontId="20" fillId="9" borderId="0" xfId="0" applyNumberFormat="1" applyFont="1" applyFill="1" applyAlignment="1">
      <alignment horizontal="left" vertical="center" indent="1"/>
    </xf>
    <xf numFmtId="14" fontId="1" fillId="9" borderId="0" xfId="2" applyNumberFormat="1" applyFont="1" applyFill="1" applyBorder="1" applyAlignment="1">
      <alignment horizontal="center" vertical="center"/>
    </xf>
    <xf numFmtId="14" fontId="16" fillId="10" borderId="9" xfId="12" applyNumberFormat="1" applyFont="1" applyFill="1" applyBorder="1">
      <alignment horizontal="left" vertical="center" indent="2"/>
    </xf>
    <xf numFmtId="14" fontId="16" fillId="10" borderId="9" xfId="11" applyNumberFormat="1" applyFont="1" applyFill="1" applyBorder="1" applyAlignment="1">
      <alignment vertical="center"/>
    </xf>
    <xf numFmtId="168" fontId="22" fillId="0" borderId="0" xfId="9" applyNumberFormat="1" applyFont="1" applyBorder="1" applyAlignment="1">
      <alignment horizontal="left"/>
    </xf>
    <xf numFmtId="168" fontId="23" fillId="0" borderId="0" xfId="0" applyNumberFormat="1" applyFont="1"/>
    <xf numFmtId="0" fontId="21" fillId="0" borderId="0" xfId="8" applyFont="1" applyAlignment="1">
      <alignment horizontal="left"/>
    </xf>
    <xf numFmtId="0" fontId="4" fillId="0" borderId="0" xfId="0" applyFont="1"/>
    <xf numFmtId="0" fontId="11" fillId="0" borderId="0" xfId="3" applyAlignment="1">
      <alignment wrapText="1"/>
    </xf>
    <xf numFmtId="0" fontId="17"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7" fillId="11" borderId="15" xfId="0" applyFont="1" applyFill="1" applyBorder="1" applyAlignment="1">
      <alignment horizontal="center" vertical="center"/>
    </xf>
    <xf numFmtId="0" fontId="4" fillId="2" borderId="20" xfId="0" applyFont="1" applyFill="1" applyBorder="1"/>
    <xf numFmtId="15" fontId="16" fillId="2" borderId="17" xfId="0" applyNumberFormat="1" applyFont="1" applyFill="1" applyBorder="1" applyAlignment="1">
      <alignment horizontal="center" vertical="center" wrapText="1"/>
    </xf>
    <xf numFmtId="15" fontId="16" fillId="2" borderId="13" xfId="0" applyNumberFormat="1" applyFont="1" applyFill="1" applyBorder="1" applyAlignment="1">
      <alignment horizontal="center" vertical="center" wrapText="1"/>
    </xf>
    <xf numFmtId="0" fontId="22" fillId="0" borderId="0" xfId="0" applyFont="1" applyAlignment="1">
      <alignment horizontal="left"/>
    </xf>
    <xf numFmtId="0" fontId="23" fillId="0" borderId="0" xfId="0" applyFont="1"/>
  </cellXfs>
  <cellStyles count="14">
    <cellStyle name="Comma" xfId="4" builtinId="3" customBuiltin="1"/>
    <cellStyle name="Currency" xfId="13" builtinId="4"/>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3">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2"/>
      <tableStyleElement type="headerRow" dxfId="31"/>
      <tableStyleElement type="totalRow" dxfId="30"/>
      <tableStyleElement type="firstColumn" dxfId="29"/>
      <tableStyleElement type="lastColumn" dxfId="28"/>
      <tableStyleElement type="firstRowStripe" dxfId="27"/>
      <tableStyleElement type="secondRowStripe" dxfId="26"/>
      <tableStyleElement type="firstColumnStripe" dxfId="25"/>
      <tableStyleElement type="secondColumn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2525"/>
      <color rgb="FFFF3F3F"/>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34"/>
  <sheetViews>
    <sheetView showGridLines="0" tabSelected="1" showRuler="0" zoomScale="70" zoomScaleNormal="70" zoomScalePageLayoutView="70" workbookViewId="0">
      <selection activeCell="AT14" sqref="AT14"/>
    </sheetView>
  </sheetViews>
  <sheetFormatPr defaultColWidth="8.69921875" defaultRowHeight="30" customHeight="1" x14ac:dyDescent="0.25"/>
  <cols>
    <col min="1" max="1" width="2.69921875" style="11" customWidth="1"/>
    <col min="2" max="2" width="22.69921875" customWidth="1"/>
    <col min="3" max="3" width="10.69921875" customWidth="1"/>
    <col min="4" max="4" width="10.69921875" style="2" customWidth="1"/>
    <col min="5" max="5" width="10.69921875" customWidth="1"/>
    <col min="6" max="6" width="2.69921875" customWidth="1"/>
    <col min="7" max="7" width="6" hidden="1" customWidth="1"/>
    <col min="8" max="78" width="2.69921875" customWidth="1"/>
  </cols>
  <sheetData>
    <row r="1" spans="1:78" ht="90" customHeight="1" x14ac:dyDescent="1.45">
      <c r="A1" s="12"/>
      <c r="B1" s="44" t="s">
        <v>23</v>
      </c>
      <c r="C1" s="15"/>
      <c r="D1" s="16"/>
      <c r="E1" s="17"/>
      <c r="G1" s="1"/>
      <c r="AS1" s="82" t="s">
        <v>19</v>
      </c>
      <c r="AT1" s="83"/>
      <c r="AU1" s="83"/>
      <c r="AV1" s="83"/>
      <c r="AW1" s="83"/>
      <c r="AX1" s="83"/>
      <c r="AY1" s="83"/>
      <c r="AZ1" s="20"/>
      <c r="BA1" s="80">
        <v>46041</v>
      </c>
      <c r="BB1" s="81"/>
      <c r="BC1" s="81"/>
      <c r="BD1" s="81"/>
      <c r="BE1" s="81"/>
      <c r="BF1" s="81"/>
      <c r="BG1" s="81"/>
      <c r="BH1" s="81"/>
      <c r="BI1" s="81"/>
      <c r="BJ1" s="81"/>
    </row>
    <row r="2" spans="1:78" ht="30" customHeight="1" x14ac:dyDescent="0.6">
      <c r="B2" s="43"/>
      <c r="C2" s="18"/>
      <c r="D2" s="19"/>
      <c r="E2" s="18"/>
      <c r="AS2" s="82" t="s">
        <v>20</v>
      </c>
      <c r="AT2" s="83"/>
      <c r="AU2" s="83"/>
      <c r="AV2" s="83"/>
      <c r="AW2" s="83"/>
      <c r="AX2" s="83"/>
      <c r="AY2" s="83"/>
      <c r="AZ2" s="20"/>
      <c r="BA2" s="91">
        <v>1</v>
      </c>
      <c r="BB2" s="92"/>
      <c r="BC2" s="92"/>
      <c r="BD2" s="92"/>
      <c r="BE2" s="92"/>
      <c r="BF2" s="92"/>
      <c r="BG2" s="92"/>
      <c r="BH2" s="92"/>
      <c r="BI2" s="92"/>
      <c r="BJ2" s="92"/>
    </row>
    <row r="3" spans="1:78" s="22" customFormat="1" ht="30" customHeight="1" x14ac:dyDescent="0.25">
      <c r="A3" s="11"/>
      <c r="B3" s="21"/>
      <c r="C3" s="23"/>
      <c r="D3" s="24"/>
      <c r="H3" s="89" t="s">
        <v>44</v>
      </c>
      <c r="I3" s="90"/>
      <c r="J3" s="90"/>
      <c r="K3" s="90"/>
      <c r="L3" s="90"/>
      <c r="M3" s="90"/>
      <c r="N3" s="90"/>
      <c r="O3" s="89" t="s">
        <v>45</v>
      </c>
      <c r="P3" s="90"/>
      <c r="Q3" s="90"/>
      <c r="R3" s="90"/>
      <c r="S3" s="90"/>
      <c r="T3" s="90"/>
      <c r="U3" s="90"/>
      <c r="V3" s="89" t="s">
        <v>46</v>
      </c>
      <c r="W3" s="90"/>
      <c r="X3" s="90"/>
      <c r="Y3" s="90"/>
      <c r="Z3" s="90"/>
      <c r="AA3" s="90"/>
      <c r="AB3" s="90"/>
      <c r="AC3" s="89" t="s">
        <v>47</v>
      </c>
      <c r="AD3" s="90"/>
      <c r="AE3" s="90"/>
      <c r="AF3" s="90"/>
      <c r="AG3" s="90"/>
      <c r="AH3" s="90"/>
      <c r="AI3" s="90"/>
      <c r="AJ3" s="89" t="s">
        <v>48</v>
      </c>
      <c r="AK3" s="90"/>
      <c r="AL3" s="90"/>
      <c r="AM3" s="90"/>
      <c r="AN3" s="90"/>
      <c r="AO3" s="90"/>
      <c r="AP3" s="90"/>
      <c r="AQ3" s="89" t="s">
        <v>49</v>
      </c>
      <c r="AR3" s="90"/>
      <c r="AS3" s="90"/>
      <c r="AT3" s="90"/>
      <c r="AU3" s="90"/>
      <c r="AV3" s="90"/>
      <c r="AW3" s="90"/>
      <c r="AX3" s="89" t="s">
        <v>50</v>
      </c>
      <c r="AY3" s="90"/>
      <c r="AZ3" s="90"/>
      <c r="BA3" s="90"/>
      <c r="BB3" s="90"/>
      <c r="BC3" s="90"/>
      <c r="BD3" s="90"/>
      <c r="BE3" s="89" t="s">
        <v>51</v>
      </c>
      <c r="BF3" s="90"/>
      <c r="BG3" s="90"/>
      <c r="BH3" s="90"/>
      <c r="BI3" s="90"/>
      <c r="BJ3" s="90"/>
      <c r="BK3" s="90"/>
      <c r="BL3" s="89" t="s">
        <v>52</v>
      </c>
      <c r="BM3" s="90"/>
      <c r="BN3" s="90"/>
      <c r="BO3" s="90"/>
      <c r="BP3" s="90"/>
      <c r="BQ3" s="90"/>
      <c r="BR3" s="90"/>
      <c r="BS3" s="89" t="s">
        <v>53</v>
      </c>
      <c r="BT3" s="90"/>
      <c r="BU3" s="90"/>
      <c r="BV3" s="90"/>
      <c r="BW3" s="90"/>
      <c r="BX3" s="90"/>
      <c r="BY3" s="90"/>
    </row>
    <row r="4" spans="1:78" s="22" customFormat="1" ht="30" customHeight="1" x14ac:dyDescent="0.25">
      <c r="A4" s="12"/>
      <c r="B4" s="25"/>
      <c r="D4" s="26"/>
      <c r="H4" s="89">
        <f>H5</f>
        <v>46041</v>
      </c>
      <c r="I4" s="90"/>
      <c r="J4" s="90"/>
      <c r="K4" s="90"/>
      <c r="L4" s="90"/>
      <c r="M4" s="90"/>
      <c r="N4" s="90"/>
      <c r="O4" s="89">
        <f t="shared" ref="O4" si="0">O5</f>
        <v>46048</v>
      </c>
      <c r="P4" s="90"/>
      <c r="Q4" s="90"/>
      <c r="R4" s="90"/>
      <c r="S4" s="90"/>
      <c r="T4" s="90"/>
      <c r="U4" s="90"/>
      <c r="V4" s="89">
        <f t="shared" ref="V4" si="1">V5</f>
        <v>46055</v>
      </c>
      <c r="W4" s="90"/>
      <c r="X4" s="90"/>
      <c r="Y4" s="90"/>
      <c r="Z4" s="90"/>
      <c r="AA4" s="90"/>
      <c r="AB4" s="90"/>
      <c r="AC4" s="89">
        <f t="shared" ref="AC4" si="2">AC5</f>
        <v>46062</v>
      </c>
      <c r="AD4" s="90"/>
      <c r="AE4" s="90"/>
      <c r="AF4" s="90"/>
      <c r="AG4" s="90"/>
      <c r="AH4" s="90"/>
      <c r="AI4" s="90"/>
      <c r="AJ4" s="89">
        <f t="shared" ref="AJ4" si="3">AJ5</f>
        <v>46069</v>
      </c>
      <c r="AK4" s="90"/>
      <c r="AL4" s="90"/>
      <c r="AM4" s="90"/>
      <c r="AN4" s="90"/>
      <c r="AO4" s="90"/>
      <c r="AP4" s="90"/>
      <c r="AQ4" s="89">
        <f t="shared" ref="AQ4" si="4">AQ5</f>
        <v>46076</v>
      </c>
      <c r="AR4" s="90"/>
      <c r="AS4" s="90"/>
      <c r="AT4" s="90"/>
      <c r="AU4" s="90"/>
      <c r="AV4" s="90"/>
      <c r="AW4" s="90"/>
      <c r="AX4" s="89">
        <f t="shared" ref="AX4" si="5">AX5</f>
        <v>46083</v>
      </c>
      <c r="AY4" s="90"/>
      <c r="AZ4" s="90"/>
      <c r="BA4" s="90"/>
      <c r="BB4" s="90"/>
      <c r="BC4" s="90"/>
      <c r="BD4" s="90"/>
      <c r="BE4" s="89">
        <f t="shared" ref="BE4" si="6">BE5</f>
        <v>46090</v>
      </c>
      <c r="BF4" s="90"/>
      <c r="BG4" s="90"/>
      <c r="BH4" s="90"/>
      <c r="BI4" s="90"/>
      <c r="BJ4" s="90"/>
      <c r="BK4" s="90"/>
      <c r="BL4" s="89">
        <f t="shared" ref="BL4" si="7">BL5</f>
        <v>46097</v>
      </c>
      <c r="BM4" s="90"/>
      <c r="BN4" s="90"/>
      <c r="BO4" s="90"/>
      <c r="BP4" s="90"/>
      <c r="BQ4" s="90"/>
      <c r="BR4" s="90"/>
      <c r="BS4" s="89">
        <f t="shared" ref="BS4" si="8">BS5</f>
        <v>46104</v>
      </c>
      <c r="BT4" s="90"/>
      <c r="BU4" s="90"/>
      <c r="BV4" s="90"/>
      <c r="BW4" s="90"/>
      <c r="BX4" s="90"/>
      <c r="BY4" s="90"/>
    </row>
    <row r="5" spans="1:78" s="22" customFormat="1" ht="15" customHeight="1" x14ac:dyDescent="0.25">
      <c r="A5" s="84"/>
      <c r="B5" s="85" t="s">
        <v>4</v>
      </c>
      <c r="C5" s="87" t="s">
        <v>0</v>
      </c>
      <c r="D5" s="87" t="s">
        <v>2</v>
      </c>
      <c r="E5" s="87" t="s">
        <v>3</v>
      </c>
      <c r="H5" s="27">
        <f>Project_Start-WEEKDAY(Project_Start,1)+2+7*(Display_Week-1)</f>
        <v>46041</v>
      </c>
      <c r="I5" s="27">
        <f>H5+1</f>
        <v>46042</v>
      </c>
      <c r="J5" s="27">
        <f t="shared" ref="J5:AP5" si="9">I5+1</f>
        <v>46043</v>
      </c>
      <c r="K5" s="27">
        <f t="shared" si="9"/>
        <v>46044</v>
      </c>
      <c r="L5" s="27">
        <f t="shared" si="9"/>
        <v>46045</v>
      </c>
      <c r="M5" s="27">
        <f t="shared" si="9"/>
        <v>46046</v>
      </c>
      <c r="N5" s="28">
        <f t="shared" si="9"/>
        <v>46047</v>
      </c>
      <c r="O5" s="29">
        <f>N5+1</f>
        <v>46048</v>
      </c>
      <c r="P5" s="27">
        <f>O5+1</f>
        <v>46049</v>
      </c>
      <c r="Q5" s="27">
        <f t="shared" si="9"/>
        <v>46050</v>
      </c>
      <c r="R5" s="27">
        <f t="shared" si="9"/>
        <v>46051</v>
      </c>
      <c r="S5" s="27">
        <f t="shared" si="9"/>
        <v>46052</v>
      </c>
      <c r="T5" s="27">
        <f t="shared" si="9"/>
        <v>46053</v>
      </c>
      <c r="U5" s="28">
        <f t="shared" si="9"/>
        <v>46054</v>
      </c>
      <c r="V5" s="29">
        <f>U5+1</f>
        <v>46055</v>
      </c>
      <c r="W5" s="27">
        <f>V5+1</f>
        <v>46056</v>
      </c>
      <c r="X5" s="27">
        <f t="shared" si="9"/>
        <v>46057</v>
      </c>
      <c r="Y5" s="27">
        <f t="shared" si="9"/>
        <v>46058</v>
      </c>
      <c r="Z5" s="27">
        <f t="shared" si="9"/>
        <v>46059</v>
      </c>
      <c r="AA5" s="27">
        <f t="shared" si="9"/>
        <v>46060</v>
      </c>
      <c r="AB5" s="28">
        <f t="shared" si="9"/>
        <v>46061</v>
      </c>
      <c r="AC5" s="29">
        <f>AB5+1</f>
        <v>46062</v>
      </c>
      <c r="AD5" s="27">
        <f>AC5+1</f>
        <v>46063</v>
      </c>
      <c r="AE5" s="27">
        <f t="shared" si="9"/>
        <v>46064</v>
      </c>
      <c r="AF5" s="27">
        <f t="shared" si="9"/>
        <v>46065</v>
      </c>
      <c r="AG5" s="27">
        <f t="shared" si="9"/>
        <v>46066</v>
      </c>
      <c r="AH5" s="27">
        <f t="shared" si="9"/>
        <v>46067</v>
      </c>
      <c r="AI5" s="28">
        <f t="shared" si="9"/>
        <v>46068</v>
      </c>
      <c r="AJ5" s="29">
        <f>AI5+1</f>
        <v>46069</v>
      </c>
      <c r="AK5" s="27">
        <f>AJ5+1</f>
        <v>46070</v>
      </c>
      <c r="AL5" s="27">
        <f t="shared" si="9"/>
        <v>46071</v>
      </c>
      <c r="AM5" s="27">
        <f t="shared" si="9"/>
        <v>46072</v>
      </c>
      <c r="AN5" s="27">
        <f t="shared" si="9"/>
        <v>46073</v>
      </c>
      <c r="AO5" s="27">
        <f t="shared" si="9"/>
        <v>46074</v>
      </c>
      <c r="AP5" s="28">
        <f t="shared" si="9"/>
        <v>46075</v>
      </c>
      <c r="AQ5" s="29">
        <f>AP5+1</f>
        <v>46076</v>
      </c>
      <c r="AR5" s="29">
        <f t="shared" ref="AR5:BY5" si="10">AQ5+1</f>
        <v>46077</v>
      </c>
      <c r="AS5" s="29">
        <f t="shared" si="10"/>
        <v>46078</v>
      </c>
      <c r="AT5" s="29">
        <f t="shared" si="10"/>
        <v>46079</v>
      </c>
      <c r="AU5" s="29">
        <f t="shared" si="10"/>
        <v>46080</v>
      </c>
      <c r="AV5" s="29">
        <f t="shared" si="10"/>
        <v>46081</v>
      </c>
      <c r="AW5" s="29">
        <f t="shared" si="10"/>
        <v>46082</v>
      </c>
      <c r="AX5" s="29">
        <f t="shared" si="10"/>
        <v>46083</v>
      </c>
      <c r="AY5" s="29">
        <f t="shared" si="10"/>
        <v>46084</v>
      </c>
      <c r="AZ5" s="29">
        <f t="shared" si="10"/>
        <v>46085</v>
      </c>
      <c r="BA5" s="29">
        <f t="shared" si="10"/>
        <v>46086</v>
      </c>
      <c r="BB5" s="29">
        <f t="shared" si="10"/>
        <v>46087</v>
      </c>
      <c r="BC5" s="29">
        <f t="shared" si="10"/>
        <v>46088</v>
      </c>
      <c r="BD5" s="29">
        <f t="shared" si="10"/>
        <v>46089</v>
      </c>
      <c r="BE5" s="29">
        <f t="shared" si="10"/>
        <v>46090</v>
      </c>
      <c r="BF5" s="29">
        <f t="shared" si="10"/>
        <v>46091</v>
      </c>
      <c r="BG5" s="29">
        <f t="shared" si="10"/>
        <v>46092</v>
      </c>
      <c r="BH5" s="29">
        <f t="shared" si="10"/>
        <v>46093</v>
      </c>
      <c r="BI5" s="29">
        <f t="shared" si="10"/>
        <v>46094</v>
      </c>
      <c r="BJ5" s="29">
        <f t="shared" si="10"/>
        <v>46095</v>
      </c>
      <c r="BK5" s="29">
        <f t="shared" si="10"/>
        <v>46096</v>
      </c>
      <c r="BL5" s="29">
        <f t="shared" si="10"/>
        <v>46097</v>
      </c>
      <c r="BM5" s="29">
        <f t="shared" si="10"/>
        <v>46098</v>
      </c>
      <c r="BN5" s="29">
        <f t="shared" si="10"/>
        <v>46099</v>
      </c>
      <c r="BO5" s="29">
        <f t="shared" si="10"/>
        <v>46100</v>
      </c>
      <c r="BP5" s="29">
        <f t="shared" si="10"/>
        <v>46101</v>
      </c>
      <c r="BQ5" s="29">
        <f t="shared" si="10"/>
        <v>46102</v>
      </c>
      <c r="BR5" s="29">
        <f t="shared" si="10"/>
        <v>46103</v>
      </c>
      <c r="BS5" s="29">
        <f t="shared" si="10"/>
        <v>46104</v>
      </c>
      <c r="BT5" s="29">
        <f t="shared" si="10"/>
        <v>46105</v>
      </c>
      <c r="BU5" s="29">
        <f t="shared" si="10"/>
        <v>46106</v>
      </c>
      <c r="BV5" s="29">
        <f t="shared" si="10"/>
        <v>46107</v>
      </c>
      <c r="BW5" s="29">
        <f t="shared" si="10"/>
        <v>46108</v>
      </c>
      <c r="BX5" s="29">
        <f t="shared" si="10"/>
        <v>46109</v>
      </c>
      <c r="BY5" s="29">
        <f t="shared" si="10"/>
        <v>46110</v>
      </c>
    </row>
    <row r="6" spans="1:78" s="22" customFormat="1" ht="15" customHeight="1" thickBot="1" x14ac:dyDescent="0.3">
      <c r="A6" s="84"/>
      <c r="B6" s="86"/>
      <c r="C6" s="88"/>
      <c r="D6" s="88"/>
      <c r="E6" s="88"/>
      <c r="H6" s="30" t="str">
        <f t="shared" ref="H6:AM6" si="11">LEFT(TEXT(H5,"ddd"),1)</f>
        <v>M</v>
      </c>
      <c r="I6" s="31" t="str">
        <f t="shared" si="11"/>
        <v>T</v>
      </c>
      <c r="J6" s="31" t="str">
        <f t="shared" si="11"/>
        <v>W</v>
      </c>
      <c r="K6" s="31" t="str">
        <f t="shared" si="11"/>
        <v>T</v>
      </c>
      <c r="L6" s="31" t="str">
        <f t="shared" si="11"/>
        <v>F</v>
      </c>
      <c r="M6" s="31" t="str">
        <f t="shared" si="11"/>
        <v>S</v>
      </c>
      <c r="N6" s="31" t="str">
        <f t="shared" si="11"/>
        <v>S</v>
      </c>
      <c r="O6" s="31" t="str">
        <f t="shared" si="11"/>
        <v>M</v>
      </c>
      <c r="P6" s="31" t="str">
        <f t="shared" si="11"/>
        <v>T</v>
      </c>
      <c r="Q6" s="31" t="str">
        <f t="shared" si="11"/>
        <v>W</v>
      </c>
      <c r="R6" s="31" t="str">
        <f t="shared" si="11"/>
        <v>T</v>
      </c>
      <c r="S6" s="31" t="str">
        <f t="shared" si="11"/>
        <v>F</v>
      </c>
      <c r="T6" s="31" t="str">
        <f t="shared" si="11"/>
        <v>S</v>
      </c>
      <c r="U6" s="31" t="str">
        <f t="shared" si="11"/>
        <v>S</v>
      </c>
      <c r="V6" s="31" t="str">
        <f t="shared" si="11"/>
        <v>M</v>
      </c>
      <c r="W6" s="31" t="str">
        <f t="shared" si="11"/>
        <v>T</v>
      </c>
      <c r="X6" s="31" t="str">
        <f t="shared" si="11"/>
        <v>W</v>
      </c>
      <c r="Y6" s="31" t="str">
        <f t="shared" si="11"/>
        <v>T</v>
      </c>
      <c r="Z6" s="31" t="str">
        <f t="shared" si="11"/>
        <v>F</v>
      </c>
      <c r="AA6" s="31" t="str">
        <f t="shared" si="11"/>
        <v>S</v>
      </c>
      <c r="AB6" s="31" t="str">
        <f t="shared" si="11"/>
        <v>S</v>
      </c>
      <c r="AC6" s="31" t="str">
        <f t="shared" si="11"/>
        <v>M</v>
      </c>
      <c r="AD6" s="31" t="str">
        <f t="shared" si="11"/>
        <v>T</v>
      </c>
      <c r="AE6" s="31" t="str">
        <f t="shared" si="11"/>
        <v>W</v>
      </c>
      <c r="AF6" s="31" t="str">
        <f t="shared" si="11"/>
        <v>T</v>
      </c>
      <c r="AG6" s="31" t="str">
        <f t="shared" si="11"/>
        <v>F</v>
      </c>
      <c r="AH6" s="31" t="str">
        <f t="shared" si="11"/>
        <v>S</v>
      </c>
      <c r="AI6" s="31" t="str">
        <f t="shared" si="11"/>
        <v>S</v>
      </c>
      <c r="AJ6" s="31" t="str">
        <f t="shared" si="11"/>
        <v>M</v>
      </c>
      <c r="AK6" s="31" t="str">
        <f t="shared" si="11"/>
        <v>T</v>
      </c>
      <c r="AL6" s="31" t="str">
        <f t="shared" si="11"/>
        <v>W</v>
      </c>
      <c r="AM6" s="31" t="str">
        <f t="shared" si="11"/>
        <v>T</v>
      </c>
      <c r="AN6" s="31" t="str">
        <f t="shared" ref="AN6:BY6" si="12">LEFT(TEXT(AN5,"ddd"),1)</f>
        <v>F</v>
      </c>
      <c r="AO6" s="31" t="str">
        <f t="shared" si="12"/>
        <v>S</v>
      </c>
      <c r="AP6" s="31" t="str">
        <f t="shared" si="12"/>
        <v>S</v>
      </c>
      <c r="AQ6" s="31" t="str">
        <f t="shared" si="12"/>
        <v>M</v>
      </c>
      <c r="AR6" s="31" t="str">
        <f t="shared" si="12"/>
        <v>T</v>
      </c>
      <c r="AS6" s="31" t="str">
        <f t="shared" si="12"/>
        <v>W</v>
      </c>
      <c r="AT6" s="31" t="str">
        <f t="shared" si="12"/>
        <v>T</v>
      </c>
      <c r="AU6" s="31" t="str">
        <f t="shared" si="12"/>
        <v>F</v>
      </c>
      <c r="AV6" s="31" t="str">
        <f t="shared" si="12"/>
        <v>S</v>
      </c>
      <c r="AW6" s="31" t="str">
        <f t="shared" si="12"/>
        <v>S</v>
      </c>
      <c r="AX6" s="31" t="str">
        <f t="shared" si="12"/>
        <v>M</v>
      </c>
      <c r="AY6" s="31" t="str">
        <f t="shared" si="12"/>
        <v>T</v>
      </c>
      <c r="AZ6" s="31" t="str">
        <f t="shared" si="12"/>
        <v>W</v>
      </c>
      <c r="BA6" s="31" t="str">
        <f t="shared" si="12"/>
        <v>T</v>
      </c>
      <c r="BB6" s="31" t="str">
        <f t="shared" si="12"/>
        <v>F</v>
      </c>
      <c r="BC6" s="31" t="str">
        <f t="shared" si="12"/>
        <v>S</v>
      </c>
      <c r="BD6" s="31" t="str">
        <f t="shared" si="12"/>
        <v>S</v>
      </c>
      <c r="BE6" s="31" t="str">
        <f t="shared" si="12"/>
        <v>M</v>
      </c>
      <c r="BF6" s="31" t="str">
        <f t="shared" si="12"/>
        <v>T</v>
      </c>
      <c r="BG6" s="31" t="str">
        <f t="shared" si="12"/>
        <v>W</v>
      </c>
      <c r="BH6" s="31" t="str">
        <f t="shared" si="12"/>
        <v>T</v>
      </c>
      <c r="BI6" s="31" t="str">
        <f t="shared" si="12"/>
        <v>F</v>
      </c>
      <c r="BJ6" s="31" t="str">
        <f t="shared" si="12"/>
        <v>S</v>
      </c>
      <c r="BK6" s="31" t="str">
        <f t="shared" si="12"/>
        <v>S</v>
      </c>
      <c r="BL6" s="31" t="str">
        <f t="shared" si="12"/>
        <v>M</v>
      </c>
      <c r="BM6" s="31" t="str">
        <f t="shared" si="12"/>
        <v>T</v>
      </c>
      <c r="BN6" s="31" t="str">
        <f t="shared" si="12"/>
        <v>W</v>
      </c>
      <c r="BO6" s="31" t="str">
        <f t="shared" si="12"/>
        <v>T</v>
      </c>
      <c r="BP6" s="31" t="str">
        <f t="shared" si="12"/>
        <v>F</v>
      </c>
      <c r="BQ6" s="31" t="str">
        <f t="shared" si="12"/>
        <v>S</v>
      </c>
      <c r="BR6" s="31" t="str">
        <f t="shared" si="12"/>
        <v>S</v>
      </c>
      <c r="BS6" s="31" t="str">
        <f t="shared" si="12"/>
        <v>M</v>
      </c>
      <c r="BT6" s="31" t="str">
        <f t="shared" si="12"/>
        <v>T</v>
      </c>
      <c r="BU6" s="31" t="str">
        <f t="shared" si="12"/>
        <v>W</v>
      </c>
      <c r="BV6" s="31" t="str">
        <f t="shared" si="12"/>
        <v>T</v>
      </c>
      <c r="BW6" s="31" t="str">
        <f t="shared" si="12"/>
        <v>F</v>
      </c>
      <c r="BX6" s="31" t="str">
        <f t="shared" si="12"/>
        <v>S</v>
      </c>
      <c r="BY6" s="31" t="str">
        <f t="shared" si="12"/>
        <v>S</v>
      </c>
    </row>
    <row r="7" spans="1:78" s="22" customFormat="1" ht="30" hidden="1" customHeight="1" thickBot="1" x14ac:dyDescent="0.3">
      <c r="A7" s="11" t="s">
        <v>18</v>
      </c>
      <c r="B7" s="32"/>
      <c r="C7" s="32"/>
      <c r="D7" s="32"/>
      <c r="E7" s="32"/>
      <c r="G7" s="22"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row>
    <row r="8" spans="1:78" s="35" customFormat="1" ht="30" customHeight="1" thickBot="1" x14ac:dyDescent="0.3">
      <c r="A8" s="12"/>
      <c r="B8" s="56" t="s">
        <v>21</v>
      </c>
      <c r="C8" s="57"/>
      <c r="D8" s="58"/>
      <c r="E8" s="59"/>
      <c r="F8" s="14"/>
      <c r="G8" s="4" t="str">
        <f t="shared" ref="G8:G32" si="13">IF(OR(ISBLANK(task_start),ISBLANK(task_end)),"",task_end-task_start+1)</f>
        <v/>
      </c>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row>
    <row r="9" spans="1:78" s="35" customFormat="1" ht="30" customHeight="1" thickBot="1" x14ac:dyDescent="0.3">
      <c r="A9" s="12"/>
      <c r="B9" s="60" t="s">
        <v>22</v>
      </c>
      <c r="C9" s="61"/>
      <c r="D9" s="54">
        <v>46108</v>
      </c>
      <c r="E9" s="54">
        <v>46108</v>
      </c>
      <c r="F9" s="14"/>
      <c r="G9" s="4">
        <f t="shared" si="13"/>
        <v>1</v>
      </c>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52"/>
      <c r="BX9" s="36"/>
      <c r="BY9" s="36"/>
      <c r="BZ9" s="36"/>
    </row>
    <row r="10" spans="1:78" s="35" customFormat="1" ht="30" customHeight="1" thickBot="1" x14ac:dyDescent="0.3">
      <c r="A10" s="12"/>
      <c r="B10" s="62" t="s">
        <v>24</v>
      </c>
      <c r="C10" s="63"/>
      <c r="D10" s="55">
        <v>46091</v>
      </c>
      <c r="E10" s="55">
        <v>46108</v>
      </c>
      <c r="F10" s="14"/>
      <c r="G10" s="4">
        <f t="shared" si="13"/>
        <v>18</v>
      </c>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row>
    <row r="11" spans="1:78" s="35" customFormat="1" ht="30" customHeight="1" thickBot="1" x14ac:dyDescent="0.3">
      <c r="A11" s="11"/>
      <c r="B11" s="62" t="s">
        <v>25</v>
      </c>
      <c r="C11" s="63"/>
      <c r="D11" s="55">
        <v>46090</v>
      </c>
      <c r="E11" s="55">
        <v>46094</v>
      </c>
      <c r="F11" s="14"/>
      <c r="G11" s="4">
        <f t="shared" si="13"/>
        <v>5</v>
      </c>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row>
    <row r="12" spans="1:78" s="35" customFormat="1" ht="30" customHeight="1" thickBot="1" x14ac:dyDescent="0.3">
      <c r="A12" s="11"/>
      <c r="B12" s="62" t="s">
        <v>26</v>
      </c>
      <c r="C12" s="63"/>
      <c r="D12" s="55">
        <v>46079</v>
      </c>
      <c r="E12" s="55">
        <v>46089</v>
      </c>
      <c r="F12" s="14"/>
      <c r="G12" s="4">
        <f t="shared" si="13"/>
        <v>11</v>
      </c>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row>
    <row r="13" spans="1:78" s="35" customFormat="1" ht="30" customHeight="1" thickBot="1" x14ac:dyDescent="0.3">
      <c r="A13" s="12"/>
      <c r="B13" s="64" t="s">
        <v>27</v>
      </c>
      <c r="C13" s="65"/>
      <c r="D13" s="66"/>
      <c r="E13" s="67"/>
      <c r="F13" s="14"/>
      <c r="G13" s="4" t="str">
        <f t="shared" si="13"/>
        <v/>
      </c>
    </row>
    <row r="14" spans="1:78" s="35" customFormat="1" ht="30" customHeight="1" thickBot="1" x14ac:dyDescent="0.3">
      <c r="A14" s="12"/>
      <c r="B14" s="68" t="s">
        <v>42</v>
      </c>
      <c r="C14" s="69"/>
      <c r="D14" s="69">
        <v>46041</v>
      </c>
      <c r="E14" s="69">
        <v>46049</v>
      </c>
      <c r="F14" s="14"/>
      <c r="G14" s="4">
        <f t="shared" si="13"/>
        <v>9</v>
      </c>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row>
    <row r="15" spans="1:78" s="35" customFormat="1" ht="30" customHeight="1" thickBot="1" x14ac:dyDescent="0.3">
      <c r="A15" s="11"/>
      <c r="B15" s="68" t="s">
        <v>35</v>
      </c>
      <c r="C15" s="69"/>
      <c r="D15" s="69">
        <v>46041</v>
      </c>
      <c r="E15" s="69">
        <v>46049</v>
      </c>
      <c r="F15" s="14"/>
      <c r="G15" s="4">
        <f t="shared" si="13"/>
        <v>9</v>
      </c>
      <c r="H15" s="36"/>
      <c r="I15" s="36"/>
      <c r="J15" s="36"/>
      <c r="K15" s="36"/>
      <c r="L15" s="36"/>
      <c r="M15" s="36"/>
      <c r="N15" s="36"/>
      <c r="O15" s="36"/>
      <c r="P15" s="36"/>
      <c r="Q15" s="36"/>
      <c r="R15" s="36"/>
      <c r="S15" s="36"/>
      <c r="T15" s="37"/>
      <c r="U15" s="37"/>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row>
    <row r="16" spans="1:78" s="35" customFormat="1" ht="30" customHeight="1" thickBot="1" x14ac:dyDescent="0.3">
      <c r="A16" s="11"/>
      <c r="B16" s="68" t="s">
        <v>36</v>
      </c>
      <c r="C16" s="69"/>
      <c r="D16" s="69">
        <v>46049</v>
      </c>
      <c r="E16" s="69">
        <v>46056</v>
      </c>
      <c r="F16" s="14"/>
      <c r="G16" s="4">
        <f t="shared" si="13"/>
        <v>8</v>
      </c>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row>
    <row r="17" spans="1:77" s="35" customFormat="1" ht="30" customHeight="1" thickBot="1" x14ac:dyDescent="0.3">
      <c r="A17" s="11"/>
      <c r="B17" s="68" t="s">
        <v>37</v>
      </c>
      <c r="C17" s="69"/>
      <c r="D17" s="69">
        <v>46049</v>
      </c>
      <c r="E17" s="69">
        <v>46056</v>
      </c>
      <c r="F17" s="14"/>
      <c r="G17" s="4">
        <f t="shared" si="13"/>
        <v>8</v>
      </c>
      <c r="H17" s="36"/>
      <c r="I17" s="36"/>
      <c r="J17" s="36"/>
      <c r="K17" s="36"/>
      <c r="L17" s="36"/>
      <c r="M17" s="36"/>
      <c r="N17" s="36"/>
      <c r="O17" s="36"/>
      <c r="P17" s="36"/>
      <c r="Q17" s="36"/>
      <c r="R17" s="36"/>
      <c r="S17" s="36"/>
      <c r="T17" s="36"/>
      <c r="U17" s="36"/>
      <c r="V17" s="36"/>
      <c r="W17" s="36"/>
      <c r="X17" s="37"/>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row>
    <row r="18" spans="1:77" s="35" customFormat="1" ht="30" customHeight="1" thickBot="1" x14ac:dyDescent="0.3">
      <c r="A18" s="11"/>
      <c r="B18" s="68" t="s">
        <v>39</v>
      </c>
      <c r="C18" s="69"/>
      <c r="D18" s="69">
        <v>46056</v>
      </c>
      <c r="E18" s="69">
        <v>46079</v>
      </c>
      <c r="F18" s="14"/>
      <c r="G18" s="4"/>
      <c r="H18" s="36"/>
      <c r="I18" s="36"/>
      <c r="J18" s="36"/>
      <c r="K18" s="36"/>
      <c r="L18" s="36"/>
      <c r="M18" s="36"/>
      <c r="N18" s="36"/>
      <c r="O18" s="36"/>
      <c r="P18" s="36"/>
      <c r="Q18" s="36"/>
      <c r="R18" s="36"/>
      <c r="S18" s="36"/>
      <c r="T18" s="36"/>
      <c r="U18" s="36"/>
      <c r="V18" s="36"/>
      <c r="W18" s="36"/>
      <c r="X18" s="37"/>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row>
    <row r="19" spans="1:77" s="35" customFormat="1" ht="30" customHeight="1" thickBot="1" x14ac:dyDescent="0.3">
      <c r="A19" s="11"/>
      <c r="B19" s="68" t="s">
        <v>38</v>
      </c>
      <c r="C19" s="69"/>
      <c r="D19" s="69">
        <v>46058</v>
      </c>
      <c r="E19" s="69">
        <v>46072</v>
      </c>
      <c r="F19" s="14"/>
      <c r="G19" s="4"/>
      <c r="H19" s="36"/>
      <c r="I19" s="36"/>
      <c r="J19" s="36"/>
      <c r="K19" s="36"/>
      <c r="L19" s="36"/>
      <c r="M19" s="36"/>
      <c r="N19" s="36"/>
      <c r="O19" s="36"/>
      <c r="P19" s="36"/>
      <c r="Q19" s="36"/>
      <c r="R19" s="36"/>
      <c r="S19" s="36"/>
      <c r="T19" s="36"/>
      <c r="U19" s="36"/>
      <c r="V19" s="36"/>
      <c r="W19" s="36"/>
      <c r="X19" s="37"/>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row>
    <row r="20" spans="1:77" s="35" customFormat="1" ht="30" customHeight="1" thickBot="1" x14ac:dyDescent="0.3">
      <c r="A20" s="11"/>
      <c r="B20" s="68" t="s">
        <v>43</v>
      </c>
      <c r="C20" s="69"/>
      <c r="D20" s="69">
        <v>46072</v>
      </c>
      <c r="E20" s="69">
        <v>46079</v>
      </c>
      <c r="F20" s="14"/>
      <c r="G20" s="4">
        <f t="shared" si="13"/>
        <v>8</v>
      </c>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row>
    <row r="21" spans="1:77" s="35" customFormat="1" ht="30" customHeight="1" thickBot="1" x14ac:dyDescent="0.3">
      <c r="A21" s="11"/>
      <c r="B21" s="70" t="s">
        <v>28</v>
      </c>
      <c r="C21" s="71"/>
      <c r="D21" s="72"/>
      <c r="E21" s="73"/>
      <c r="F21" s="14"/>
      <c r="G21" s="4" t="str">
        <f t="shared" si="13"/>
        <v/>
      </c>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row>
    <row r="22" spans="1:77" s="35" customFormat="1" ht="30" customHeight="1" thickBot="1" x14ac:dyDescent="0.3">
      <c r="A22" s="11"/>
      <c r="B22" s="74" t="s">
        <v>40</v>
      </c>
      <c r="C22" s="75"/>
      <c r="D22" s="75">
        <v>46041</v>
      </c>
      <c r="E22" s="75">
        <v>46056</v>
      </c>
      <c r="F22" s="14"/>
      <c r="G22" s="4"/>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row>
    <row r="23" spans="1:77" s="35" customFormat="1" ht="30" customHeight="1" thickBot="1" x14ac:dyDescent="0.3">
      <c r="A23" s="11"/>
      <c r="B23" s="74" t="s">
        <v>41</v>
      </c>
      <c r="C23" s="75"/>
      <c r="D23" s="75">
        <v>46059</v>
      </c>
      <c r="E23" s="75">
        <v>46072</v>
      </c>
      <c r="F23" s="14"/>
      <c r="G23" s="4"/>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row>
    <row r="24" spans="1:77" s="35" customFormat="1" ht="30" customHeight="1" thickBot="1" x14ac:dyDescent="0.3">
      <c r="A24" s="11"/>
      <c r="B24" s="74" t="s">
        <v>31</v>
      </c>
      <c r="C24" s="75"/>
      <c r="D24" s="75">
        <v>46041</v>
      </c>
      <c r="E24" s="75">
        <v>46065</v>
      </c>
      <c r="F24" s="14"/>
      <c r="G24" s="4">
        <f t="shared" si="13"/>
        <v>25</v>
      </c>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row>
    <row r="25" spans="1:77" s="35" customFormat="1" ht="30" customHeight="1" thickBot="1" x14ac:dyDescent="0.3">
      <c r="A25" s="11"/>
      <c r="B25" s="74" t="s">
        <v>34</v>
      </c>
      <c r="C25" s="75"/>
      <c r="D25" s="75">
        <v>46051</v>
      </c>
      <c r="E25" s="75">
        <v>46070</v>
      </c>
      <c r="F25" s="14"/>
      <c r="G25" s="4">
        <f t="shared" si="13"/>
        <v>20</v>
      </c>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row>
    <row r="26" spans="1:77" s="35" customFormat="1" ht="30" customHeight="1" thickBot="1" x14ac:dyDescent="0.3">
      <c r="A26" s="11"/>
      <c r="B26" s="74" t="s">
        <v>32</v>
      </c>
      <c r="C26" s="75"/>
      <c r="D26" s="75">
        <v>46051</v>
      </c>
      <c r="E26" s="75">
        <v>46070</v>
      </c>
      <c r="F26" s="14"/>
      <c r="G26" s="4">
        <f t="shared" si="13"/>
        <v>20</v>
      </c>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row>
    <row r="27" spans="1:77" s="35" customFormat="1" ht="30" customHeight="1" thickBot="1" x14ac:dyDescent="0.3">
      <c r="A27" s="11"/>
      <c r="B27" s="74" t="s">
        <v>33</v>
      </c>
      <c r="C27" s="75"/>
      <c r="D27" s="75">
        <v>46041</v>
      </c>
      <c r="E27" s="53">
        <v>46070</v>
      </c>
      <c r="F27" s="14"/>
      <c r="G27" s="4">
        <f t="shared" si="13"/>
        <v>30</v>
      </c>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row>
    <row r="28" spans="1:77" s="35" customFormat="1" ht="30" customHeight="1" thickBot="1" x14ac:dyDescent="0.3">
      <c r="A28" s="11"/>
      <c r="B28" s="74" t="s">
        <v>54</v>
      </c>
      <c r="C28" s="75"/>
      <c r="D28" s="75">
        <v>46065</v>
      </c>
      <c r="E28" s="75">
        <v>46079</v>
      </c>
      <c r="F28" s="14"/>
      <c r="G28" s="4">
        <f t="shared" si="13"/>
        <v>15</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row>
    <row r="29" spans="1:77" s="35" customFormat="1" ht="30" customHeight="1" thickBot="1" x14ac:dyDescent="0.3">
      <c r="A29" s="11"/>
      <c r="B29" s="76" t="s">
        <v>29</v>
      </c>
      <c r="C29" s="77"/>
      <c r="D29" s="77"/>
      <c r="E29" s="77"/>
      <c r="F29" s="14"/>
      <c r="G29" s="4" t="str">
        <f t="shared" si="13"/>
        <v/>
      </c>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row>
    <row r="30" spans="1:77" s="35" customFormat="1" ht="30" customHeight="1" thickBot="1" x14ac:dyDescent="0.3">
      <c r="A30" s="11"/>
      <c r="B30" s="78" t="s">
        <v>30</v>
      </c>
      <c r="C30" s="79"/>
      <c r="D30" s="79">
        <v>46058</v>
      </c>
      <c r="E30" s="79">
        <v>46058</v>
      </c>
      <c r="F30" s="14"/>
      <c r="G30" s="4">
        <f t="shared" si="13"/>
        <v>1</v>
      </c>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row>
    <row r="31" spans="1:77" s="35" customFormat="1" ht="30" customHeight="1" thickBot="1" x14ac:dyDescent="0.3">
      <c r="A31" s="11"/>
      <c r="B31" s="78" t="s">
        <v>55</v>
      </c>
      <c r="C31" s="79"/>
      <c r="D31" s="79">
        <v>46070</v>
      </c>
      <c r="E31" s="79">
        <v>46070</v>
      </c>
      <c r="F31" s="14"/>
      <c r="G31" s="4">
        <f t="shared" si="13"/>
        <v>1</v>
      </c>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row>
    <row r="32" spans="1:77" s="35" customFormat="1" ht="30" customHeight="1" thickBot="1" x14ac:dyDescent="0.3">
      <c r="A32" s="11"/>
      <c r="B32" s="40"/>
      <c r="C32" s="41"/>
      <c r="D32" s="42"/>
      <c r="E32" s="42"/>
      <c r="F32" s="14"/>
      <c r="G32" s="4" t="str">
        <f t="shared" si="13"/>
        <v/>
      </c>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row>
    <row r="33" spans="5:6" ht="30" customHeight="1" x14ac:dyDescent="0.25">
      <c r="F33" s="3"/>
    </row>
    <row r="34" spans="5:6" ht="30" customHeight="1" x14ac:dyDescent="0.25">
      <c r="E34" s="13"/>
    </row>
  </sheetData>
  <mergeCells count="29">
    <mergeCell ref="BS4:BY4"/>
    <mergeCell ref="AX4:BD4"/>
    <mergeCell ref="BL4:BR4"/>
    <mergeCell ref="E5:E6"/>
    <mergeCell ref="BA2:BJ2"/>
    <mergeCell ref="AX3:BD3"/>
    <mergeCell ref="BE3:BK3"/>
    <mergeCell ref="BL3:BR3"/>
    <mergeCell ref="BS3:BY3"/>
    <mergeCell ref="BE4:BK4"/>
    <mergeCell ref="H4:N4"/>
    <mergeCell ref="O4:U4"/>
    <mergeCell ref="V4:AB4"/>
    <mergeCell ref="AC4:AI4"/>
    <mergeCell ref="AJ4:AP4"/>
    <mergeCell ref="AQ4:AW4"/>
    <mergeCell ref="BA1:BJ1"/>
    <mergeCell ref="AS1:AY1"/>
    <mergeCell ref="AS2:AY2"/>
    <mergeCell ref="A5:A6"/>
    <mergeCell ref="B5:B6"/>
    <mergeCell ref="C5:C6"/>
    <mergeCell ref="D5:D6"/>
    <mergeCell ref="H3:N3"/>
    <mergeCell ref="O3:U3"/>
    <mergeCell ref="V3:AB3"/>
    <mergeCell ref="AC3:AI3"/>
    <mergeCell ref="AJ3:AP3"/>
    <mergeCell ref="AQ3:AW3"/>
  </mergeCells>
  <conditionalFormatting sqref="C7:C12 C29:E29 C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14:AV20 BS14:BX20">
    <cfRule type="expression" dxfId="23" priority="5" stopIfTrue="1">
      <formula>AND(task_end&gt;=H$5,task_start&lt;I$5)</formula>
    </cfRule>
  </conditionalFormatting>
  <conditionalFormatting sqref="H30:AV31 BS30:BX31">
    <cfRule type="expression" dxfId="22" priority="36">
      <formula>AND(task_start&lt;=H$5,ROUNDDOWN((task_end-task_start+1)*task_progress,0)+task_start-1&gt;=H$5)</formula>
    </cfRule>
    <cfRule type="expression" dxfId="21" priority="37" stopIfTrue="1">
      <formula>AND(task_end&gt;=H$5,task_start&lt;I$5)</formula>
    </cfRule>
  </conditionalFormatting>
  <conditionalFormatting sqref="H3:BY3 AX4:BC4 BE4:BJ4 BL4:BQ4 BS4:BX4 H4:AV8 BS7:BX8 H9:BZ12 H13:AV21 BS13:BX21 H22:BY23 H24:AV31 BS24:BX31">
    <cfRule type="expression" dxfId="20" priority="1">
      <formula>AND(TODAY()&gt;=H$5, TODAY()&lt;I$5)</formula>
    </cfRule>
  </conditionalFormatting>
  <conditionalFormatting sqref="H14:BY20">
    <cfRule type="expression" dxfId="19" priority="4">
      <formula>AND(task_start&lt;=H$5,ROUNDDOWN((task_end-task_start+1)*task_progress,0)+task_start-1&gt;=H$5)</formula>
    </cfRule>
  </conditionalFormatting>
  <conditionalFormatting sqref="H22:BY23 H24:AV28 BS24:BX28">
    <cfRule type="expression" dxfId="18" priority="3" stopIfTrue="1">
      <formula>AND(task_end&gt;=H$5,task_start&lt;I$5)</formula>
    </cfRule>
  </conditionalFormatting>
  <conditionalFormatting sqref="H22:BY28">
    <cfRule type="expression" dxfId="17" priority="2">
      <formula>AND(task_start&lt;=H$5,ROUNDDOWN((task_end-task_start+1)*task_progress,0)+task_start-1&gt;=H$5)</formula>
    </cfRule>
  </conditionalFormatting>
  <conditionalFormatting sqref="H9:BZ12">
    <cfRule type="expression" dxfId="16" priority="6">
      <formula>AND(task_start&lt;=H$5,ROUNDDOWN((task_end-task_start+1)*task_progress,0)+task_start-1&gt;=H$5)</formula>
    </cfRule>
    <cfRule type="expression" dxfId="15" priority="7" stopIfTrue="1">
      <formula>AND(task_end&gt;=H$5,task_start&lt;I$5)</formula>
    </cfRule>
  </conditionalFormatting>
  <conditionalFormatting sqref="AW4 BD4 BK4 BR4 AW5:BY6 AW7:BD8 AW13:BD21 AW24:BD31">
    <cfRule type="expression" dxfId="14" priority="151">
      <formula>AND(TODAY()&gt;=AW$5, TODAY()&lt;BS$5)</formula>
    </cfRule>
  </conditionalFormatting>
  <conditionalFormatting sqref="AW14:BD20">
    <cfRule type="expression" dxfId="13" priority="160" stopIfTrue="1">
      <formula>AND(task_end&gt;=AW$5,task_start&lt;BS$5)</formula>
    </cfRule>
  </conditionalFormatting>
  <conditionalFormatting sqref="AW24:BD28">
    <cfRule type="expression" dxfId="12" priority="162" stopIfTrue="1">
      <formula>AND(task_end&gt;=AW$5,task_start&lt;BS$5)</formula>
    </cfRule>
  </conditionalFormatting>
  <conditionalFormatting sqref="AW30:BD31">
    <cfRule type="expression" dxfId="11" priority="163">
      <formula>AND(task_start&lt;=AW$5,ROUNDDOWN((task_end-task_start+1)*task_progress,0)+task_start-1&gt;=AW$5)</formula>
    </cfRule>
    <cfRule type="expression" dxfId="10" priority="164" stopIfTrue="1">
      <formula>AND(task_end&gt;=AW$5,task_start&lt;BS$5)</formula>
    </cfRule>
  </conditionalFormatting>
  <conditionalFormatting sqref="BE14:BR20">
    <cfRule type="expression" dxfId="9" priority="133" stopIfTrue="1">
      <formula>AND(task_end&gt;=BE$5,task_start&lt;BT$5)</formula>
    </cfRule>
  </conditionalFormatting>
  <conditionalFormatting sqref="BE24:BR28">
    <cfRule type="expression" dxfId="8" priority="137" stopIfTrue="1">
      <formula>AND(task_end&gt;=BE$5,task_start&lt;BT$5)</formula>
    </cfRule>
  </conditionalFormatting>
  <conditionalFormatting sqref="BE30:BR31">
    <cfRule type="expression" dxfId="7" priority="140">
      <formula>AND(task_start&lt;=BE$5,ROUNDDOWN((task_end-task_start+1)*task_progress,0)+task_start-1&gt;=BE$5)</formula>
    </cfRule>
    <cfRule type="expression" dxfId="6" priority="141" stopIfTrue="1">
      <formula>AND(task_end&gt;=BE$5,task_start&lt;BT$5)</formula>
    </cfRule>
  </conditionalFormatting>
  <conditionalFormatting sqref="BY4 BE7:BR8 BE13:BR21 BE24:BR31">
    <cfRule type="expression" dxfId="5" priority="126">
      <formula>AND(TODAY()&gt;=BE$5, TODAY()&lt;BT$5)</formula>
    </cfRule>
  </conditionalFormatting>
  <conditionalFormatting sqref="BY7:BY8 BY13:BY21 BY24:BY31">
    <cfRule type="expression" dxfId="4" priority="81">
      <formula>AND(TODAY()&gt;=BY$5, TODAY()&lt;#REF!)</formula>
    </cfRule>
  </conditionalFormatting>
  <conditionalFormatting sqref="BY14:BY20">
    <cfRule type="expression" dxfId="3" priority="90" stopIfTrue="1">
      <formula>AND(task_end&gt;=BY$5,task_start&lt;#REF!)</formula>
    </cfRule>
  </conditionalFormatting>
  <conditionalFormatting sqref="BY24:BY28">
    <cfRule type="expression" dxfId="2" priority="94" stopIfTrue="1">
      <formula>AND(task_end&gt;=BY$5,task_start&lt;#REF!)</formula>
    </cfRule>
  </conditionalFormatting>
  <conditionalFormatting sqref="BY30:BY31">
    <cfRule type="expression" dxfId="1" priority="97">
      <formula>AND(task_start&lt;=BY$5,ROUNDDOWN((task_end-task_start+1)*task_progress,0)+task_start-1&gt;=BY$5)</formula>
    </cfRule>
    <cfRule type="expression" dxfId="0" priority="98" stopIfTrue="1">
      <formula>AND(task_end&gt;=BY$5,task_start&lt;#REF!)</formula>
    </cfRule>
  </conditionalFormatting>
  <dataValidations count="12">
    <dataValidation type="whole" operator="greaterThanOrEqual" allowBlank="1" showInputMessage="1" promptTitle="Display Week" prompt="Changing this number will scroll the Gantt Chart view." sqref="BA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21:A23" xr:uid="{956902D1-D3B5-416D-BB69-9362D193BC0A}"/>
    <dataValidation allowBlank="1" showInputMessage="1" showErrorMessage="1" prompt="Phase 4's sample block starts in cell B26." sqref="A29" xr:uid="{DE54E5DE-526D-4D71-8D03-E99B4AB2FEE5}"/>
  </dataValidations>
  <printOptions horizontalCentered="1"/>
  <pageMargins left="0.35" right="0.35" top="0.35" bottom="0.5" header="0.3" footer="0.3"/>
  <pageSetup scale="48"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C7:C12 C29:E29 C32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0" sqref="A10"/>
    </sheetView>
  </sheetViews>
  <sheetFormatPr defaultColWidth="9" defaultRowHeight="13.2" x14ac:dyDescent="0.25"/>
  <cols>
    <col min="1" max="1" width="87" style="5" customWidth="1"/>
    <col min="2" max="16384" width="9" style="1"/>
  </cols>
  <sheetData>
    <row r="1" spans="1:2" ht="46.5" customHeight="1" x14ac:dyDescent="0.25"/>
    <row r="2" spans="1:2" s="7" customFormat="1" ht="15.6" x14ac:dyDescent="0.25">
      <c r="A2" s="45" t="s">
        <v>7</v>
      </c>
      <c r="B2" s="6"/>
    </row>
    <row r="3" spans="1:2" s="9" customFormat="1" ht="27" customHeight="1" x14ac:dyDescent="0.25">
      <c r="A3" s="46"/>
      <c r="B3" s="10"/>
    </row>
    <row r="4" spans="1:2" s="8" customFormat="1" ht="30" x14ac:dyDescent="0.7">
      <c r="A4" s="47" t="s">
        <v>6</v>
      </c>
    </row>
    <row r="5" spans="1:2" ht="74.25" customHeight="1" x14ac:dyDescent="0.25">
      <c r="A5" s="48" t="s">
        <v>14</v>
      </c>
    </row>
    <row r="6" spans="1:2" ht="26.25" customHeight="1" x14ac:dyDescent="0.25">
      <c r="A6" s="47" t="s">
        <v>17</v>
      </c>
    </row>
    <row r="7" spans="1:2" s="5" customFormat="1" ht="205.05" customHeight="1" x14ac:dyDescent="0.25">
      <c r="A7" s="49" t="s">
        <v>16</v>
      </c>
    </row>
    <row r="8" spans="1:2" s="8" customFormat="1" ht="30" x14ac:dyDescent="0.7">
      <c r="A8" s="47" t="s">
        <v>8</v>
      </c>
    </row>
    <row r="9" spans="1:2" ht="41.4" x14ac:dyDescent="0.25">
      <c r="A9" s="48" t="s">
        <v>15</v>
      </c>
    </row>
    <row r="10" spans="1:2" s="5" customFormat="1" ht="28.05" customHeight="1" x14ac:dyDescent="0.25">
      <c r="A10" s="50" t="s">
        <v>13</v>
      </c>
    </row>
    <row r="11" spans="1:2" s="8" customFormat="1" ht="30" x14ac:dyDescent="0.7">
      <c r="A11" s="47" t="s">
        <v>5</v>
      </c>
    </row>
    <row r="12" spans="1:2" ht="27.6" x14ac:dyDescent="0.25">
      <c r="A12" s="48" t="s">
        <v>12</v>
      </c>
    </row>
    <row r="13" spans="1:2" s="5" customFormat="1" ht="28.05" customHeight="1" x14ac:dyDescent="0.25">
      <c r="A13" s="50" t="s">
        <v>1</v>
      </c>
    </row>
    <row r="14" spans="1:2" s="8" customFormat="1" ht="30" x14ac:dyDescent="0.7">
      <c r="A14" s="47" t="s">
        <v>9</v>
      </c>
    </row>
    <row r="15" spans="1:2" ht="75" customHeight="1" x14ac:dyDescent="0.25">
      <c r="A15" s="48" t="s">
        <v>10</v>
      </c>
    </row>
    <row r="16" spans="1:2" ht="69" x14ac:dyDescent="0.25">
      <c r="A16" s="48" t="s">
        <v>11</v>
      </c>
    </row>
    <row r="17" spans="1:1" x14ac:dyDescent="0.25">
      <c r="A17" s="51"/>
    </row>
    <row r="18" spans="1:1" x14ac:dyDescent="0.25">
      <c r="A18" s="51"/>
    </row>
    <row r="19" spans="1:1" x14ac:dyDescent="0.25">
      <c r="A19" s="51"/>
    </row>
    <row r="20" spans="1:1" x14ac:dyDescent="0.25">
      <c r="A20" s="51"/>
    </row>
    <row r="21" spans="1:1" x14ac:dyDescent="0.25">
      <c r="A21" s="51"/>
    </row>
    <row r="22" spans="1:1" x14ac:dyDescent="0.25">
      <c r="A22" s="51"/>
    </row>
    <row r="23" spans="1:1" x14ac:dyDescent="0.25">
      <c r="A23" s="51"/>
    </row>
    <row r="24" spans="1:1" x14ac:dyDescent="0.25">
      <c r="A24" s="5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230e9df3-be65-4c73-a93b-d1236ebd677e"/>
    <ds:schemaRef ds:uri="http://schemas.microsoft.com/sharepoint/v3"/>
    <ds:schemaRef ds:uri="http://schemas.microsoft.com/office/2006/documentManagement/types"/>
    <ds:schemaRef ds:uri="http://purl.org/dc/dcmitype/"/>
    <ds:schemaRef ds:uri="http://purl.org/dc/elements/1.1/"/>
    <ds:schemaRef ds:uri="16c05727-aa75-4e4a-9b5f-8a80a1165891"/>
    <ds:schemaRef ds:uri="http://schemas.openxmlformats.org/package/2006/metadata/core-properties"/>
    <ds:schemaRef ds:uri="http://www.w3.org/XML/1998/namespace"/>
    <ds:schemaRef ds:uri="http://schemas.microsoft.com/office/infopath/2007/PartnerControls"/>
    <ds:schemaRef ds:uri="71af3243-3dd4-4a8d-8c0d-dd76da1f02a5"/>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Sam Hollier</dc:creator>
  <dc:description/>
  <cp:lastModifiedBy>Samuel Hollier (BSc Phys + Astrophys FT (3))</cp:lastModifiedBy>
  <cp:lastPrinted>2026-01-16T17:32:38Z</cp:lastPrinted>
  <dcterms:created xsi:type="dcterms:W3CDTF">2022-03-11T22:41:12Z</dcterms:created>
  <dcterms:modified xsi:type="dcterms:W3CDTF">2026-01-16T17:32:38Z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